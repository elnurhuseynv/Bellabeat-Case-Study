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/>
  <xr:revisionPtr revIDLastSave="147" documentId="11_0B1D56BE9CDCCE836B02CE7A5FB0D4A9BBFD1C62" xr6:coauthVersionLast="47" xr6:coauthVersionMax="47" xr10:uidLastSave="{6CA653FC-AA8C-435E-8417-0BBC2FE18B51}"/>
  <bookViews>
    <workbookView xWindow="240" yWindow="105" windowWidth="14805" windowHeight="8010" xr2:uid="{00000000-000D-0000-FFFF-FFFF00000000}"/>
  </bookViews>
  <sheets>
    <sheet name="Dashboard" sheetId="8" r:id="rId1"/>
    <sheet name="kpi_overall" sheetId="2" r:id="rId2"/>
    <sheet name="activity_by_weekday" sheetId="4" r:id="rId3"/>
    <sheet name="sleep_by_weekday" sheetId="5" r:id="rId4"/>
    <sheet name="weekday_vs_weekend" sheetId="6" r:id="rId5"/>
    <sheet name="engagement_summary" sheetId="7" r:id="rId6"/>
  </sheets>
  <definedNames>
    <definedName name="ExternalData_1" localSheetId="1" hidden="1">kpi_overall!$A$1:$E$2</definedName>
    <definedName name="ExternalData_1" localSheetId="2" hidden="1">activity_by_weekday!$A$1:$E$8</definedName>
    <definedName name="ExternalData_1" localSheetId="3" hidden="1">sleep_by_weekday!$A$1:$D$8</definedName>
    <definedName name="ExternalData_1" localSheetId="4" hidden="1">weekday_vs_weekend!$A$1:$F$5</definedName>
    <definedName name="ExternalData_1" localSheetId="5" hidden="1">engagement_summary!$A$1:$E$4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2031BC-2A0D-4FD7-B5B8-3540DF41DFD6}" keepAlive="1" name="Query - activity_by_weekday" description="Connection to the 'activity_by_weekday' query in the workbook." type="5" refreshedVersion="8" background="1">
    <dbPr connection="Provider=Microsoft.Mashup.OleDb.1;Data Source=$Workbook$;Location=activity_by_weekday;Extended Properties=&quot;&quot;" command="SELECT * FROM [activity_by_weekday]"/>
  </connection>
  <connection id="2" xr16:uid="{B2EDD6B5-D803-4DE3-A47E-CBD00ED4732A}" keepAlive="1" name="Query - engagement_summary" description="Connection to the 'engagement_summary' query in the workbook." type="5" refreshedVersion="8" background="1">
    <dbPr connection="Provider=Microsoft.Mashup.OleDb.1;Data Source=$Workbook$;Location=engagement_summary;Extended Properties=&quot;&quot;" command="SELECT * FROM [engagement_summary]"/>
  </connection>
  <connection id="3" xr16:uid="{C3E7B085-E430-4561-B572-69996538B60C}" keepAlive="1" name="Query - kpi_overall" description="Connection to the 'kpi_overall' query in the workbook." type="5" refreshedVersion="8" background="1">
    <dbPr connection="Provider=Microsoft.Mashup.OleDb.1;Data Source=$Workbook$;Location=kpi_overall;Extended Properties=&quot;&quot;" command="SELECT * FROM [kpi_overall]"/>
  </connection>
  <connection id="4" xr16:uid="{3F3A8D6E-558A-4F12-B877-F229BA0616EE}" keepAlive="1" name="Query - sleep_by_weekday" description="Connection to the 'sleep_by_weekday' query in the workbook." type="5" refreshedVersion="8" background="1">
    <dbPr connection="Provider=Microsoft.Mashup.OleDb.1;Data Source=$Workbook$;Location=sleep_by_weekday;Extended Properties=&quot;&quot;" command="SELECT * FROM [sleep_by_weekday]"/>
  </connection>
  <connection id="5" xr16:uid="{8F56E1A1-16D6-4F2A-A828-B583C68556CC}" keepAlive="1" name="Query - weekday_vs_weekend" description="Connection to the 'weekday_vs_weekend' query in the workbook." type="5" refreshedVersion="8" background="1">
    <dbPr connection="Provider=Microsoft.Mashup.OleDb.1;Data Source=$Workbook$;Location=weekday_vs_weekend;Extended Properties=&quot;&quot;" command="SELECT * FROM [weekday_vs_weekend]"/>
  </connection>
</connections>
</file>

<file path=xl/sharedStrings.xml><?xml version="1.0" encoding="utf-8"?>
<sst xmlns="http://schemas.openxmlformats.org/spreadsheetml/2006/main" count="51" uniqueCount="29">
  <si>
    <t>Bellabeat Excel Dashboard</t>
  </si>
  <si>
    <t>days</t>
  </si>
  <si>
    <t>users</t>
  </si>
  <si>
    <t>avg_steps</t>
  </si>
  <si>
    <t>avg_active_minutes</t>
  </si>
  <si>
    <t>avg_calories</t>
  </si>
  <si>
    <t>day_of_week</t>
  </si>
  <si>
    <t>Mon</t>
  </si>
  <si>
    <t>Tue</t>
  </si>
  <si>
    <t>Wed</t>
  </si>
  <si>
    <t>Thu</t>
  </si>
  <si>
    <t>Fri</t>
  </si>
  <si>
    <t>Sat</t>
  </si>
  <si>
    <t>Sun</t>
  </si>
  <si>
    <t>nights</t>
  </si>
  <si>
    <t>avg_sleep_hours</t>
  </si>
  <si>
    <t>avg_time_in_bed_hours</t>
  </si>
  <si>
    <t>domain</t>
  </si>
  <si>
    <t>is_weekend</t>
  </si>
  <si>
    <t>records</t>
  </si>
  <si>
    <t>Activity</t>
  </si>
  <si>
    <t>Weekend</t>
  </si>
  <si>
    <t>Weekday</t>
  </si>
  <si>
    <t>Sleep</t>
  </si>
  <si>
    <t>engagement_level</t>
  </si>
  <si>
    <t>avg_tracked_days</t>
  </si>
  <si>
    <t>High</t>
  </si>
  <si>
    <t>Moderate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</si>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</sst>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24"/>
      <color rgb="FF4D93D9"/>
      <name val="Aptos Display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theme="3" tint="0.499984740745262"/>
      </left>
      <right/>
      <top style="medium">
        <color theme="3" tint="0.499984740745262"/>
      </top>
      <bottom/>
      <diagonal/>
    </border>
    <border>
      <left/>
      <right/>
      <top style="medium">
        <color theme="3" tint="0.499984740745262"/>
      </top>
      <bottom/>
      <diagonal/>
    </border>
    <border>
      <left/>
      <right style="medium">
        <color theme="3" tint="0.499984740745262"/>
      </right>
      <top style="medium">
        <color theme="3" tint="0.499984740745262"/>
      </top>
      <bottom/>
      <diagonal/>
    </border>
    <border>
      <left style="medium">
        <color theme="3" tint="0.499984740745262"/>
      </left>
      <right/>
      <top/>
      <bottom style="medium">
        <color theme="3" tint="0.499984740745262"/>
      </bottom>
      <diagonal/>
    </border>
    <border>
      <left/>
      <right/>
      <top/>
      <bottom style="medium">
        <color theme="3" tint="0.499984740745262"/>
      </bottom>
      <diagonal/>
    </border>
    <border>
      <left/>
      <right style="medium">
        <color theme="3" tint="0.499984740745262"/>
      </right>
      <top/>
      <bottom style="medium">
        <color theme="3" tint="0.49998474074526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0" fontId="1" fillId="0" borderId="0" xfId="0" applyFont="1" applyAlignment="1"/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Daily Steps by Weekday</a:t>
            </a:r>
          </a:p>
        </c:rich>
      </c:tx>
      <c:layout>
        <c:manualLayout>
          <c:xMode val="edge"/>
          <c:yMode val="edge"/>
          <c:x val="0.26472456751011592"/>
          <c:y val="2.8049042290937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activity_by_weekday!$C$1</c:f>
              <c:strCache>
                <c:ptCount val="1"/>
                <c:pt idx="0">
                  <c:v>avg_steps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activity_by_weekday!$A$2:$A$8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activity_by_weekday!$C$2:$C$8</c:f>
              <c:numCache>
                <c:formatCode>General</c:formatCode>
                <c:ptCount val="7"/>
                <c:pt idx="0">
                  <c:v>7781</c:v>
                </c:pt>
                <c:pt idx="1">
                  <c:v>8125</c:v>
                </c:pt>
                <c:pt idx="2">
                  <c:v>7559</c:v>
                </c:pt>
                <c:pt idx="3">
                  <c:v>7406</c:v>
                </c:pt>
                <c:pt idx="4">
                  <c:v>7448</c:v>
                </c:pt>
                <c:pt idx="5">
                  <c:v>8153</c:v>
                </c:pt>
                <c:pt idx="6">
                  <c:v>6933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D-4A48-A5A1-FA8999F5A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7102215"/>
        <c:axId val="62944776"/>
      </c:barChart>
      <c:catAx>
        <c:axId val="2147102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Week</a:t>
                </a:r>
              </a:p>
            </c:rich>
          </c:tx>
          <c:layout>
            <c:manualLayout>
              <c:xMode val="edge"/>
              <c:yMode val="edge"/>
              <c:x val="0.42371475916584644"/>
              <c:y val="0.887333437568350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44776"/>
        <c:crosses val="autoZero"/>
        <c:auto val="1"/>
        <c:lblAlgn val="ctr"/>
        <c:lblOffset val="100"/>
        <c:noMultiLvlLbl val="0"/>
      </c:catAx>
      <c:valAx>
        <c:axId val="62944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Steps</a:t>
                </a:r>
              </a:p>
            </c:rich>
          </c:tx>
          <c:layout>
            <c:manualLayout>
              <c:xMode val="edge"/>
              <c:yMode val="edge"/>
              <c:x val="1.4279513888888888E-2"/>
              <c:y val="0.333420530482192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102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Sleep Duration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sleep_by_weekday!$C$1</c:f>
              <c:strCache>
                <c:ptCount val="1"/>
                <c:pt idx="0">
                  <c:v>avg_sleep_hours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sleep_by_weekday!$A$2:$A$8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sleep_by_weekday!$C$2:$C$8</c:f>
              <c:numCache>
                <c:formatCode>General</c:formatCode>
                <c:ptCount val="7"/>
                <c:pt idx="0">
                  <c:v>6.99</c:v>
                </c:pt>
                <c:pt idx="1">
                  <c:v>6.74</c:v>
                </c:pt>
                <c:pt idx="2">
                  <c:v>7.24</c:v>
                </c:pt>
                <c:pt idx="3">
                  <c:v>6.69</c:v>
                </c:pt>
                <c:pt idx="4">
                  <c:v>6.76</c:v>
                </c:pt>
                <c:pt idx="5">
                  <c:v>6.98</c:v>
                </c:pt>
                <c:pt idx="6">
                  <c:v>7.55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C-4938-9718-679D5C146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1885960"/>
        <c:axId val="501890568"/>
      </c:barChart>
      <c:catAx>
        <c:axId val="501885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890568"/>
        <c:crosses val="autoZero"/>
        <c:auto val="1"/>
        <c:lblAlgn val="ctr"/>
        <c:lblOffset val="100"/>
        <c:noMultiLvlLbl val="0"/>
      </c:catAx>
      <c:valAx>
        <c:axId val="5018905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Sleep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885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Steps: Weekday vs Weekend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weekday_vs_weekend!$D$1</c:f>
              <c:strCache>
                <c:ptCount val="1"/>
                <c:pt idx="0">
                  <c:v>avg_steps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weekday_vs_weekend!$B$2:$B$3</c:f>
              <c:strCache>
                <c:ptCount val="2"/>
                <c:pt idx="0">
                  <c:v>Weekend</c:v>
                </c:pt>
                <c:pt idx="1">
                  <c:v>Weekday</c:v>
                </c:pt>
              </c:strCache>
            </c:strRef>
          </c:cat>
          <c:val>
            <c:numRef>
              <c:f>weekday_vs_weekend!$D$2:$D$3</c:f>
              <c:numCache>
                <c:formatCode>General</c:formatCode>
                <c:ptCount val="2"/>
                <c:pt idx="0">
                  <c:v>7551</c:v>
                </c:pt>
                <c:pt idx="1">
                  <c:v>7669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D-45F8-A68D-DB47A303C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2938503"/>
        <c:axId val="2072966663"/>
      </c:barChart>
      <c:catAx>
        <c:axId val="2072938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Type</a:t>
                </a:r>
              </a:p>
            </c:rich>
          </c:tx>
          <c:layout>
            <c:manualLayout>
              <c:xMode val="edge"/>
              <c:yMode val="edge"/>
              <c:x val="0.46673078401820867"/>
              <c:y val="0.874828376758894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966663"/>
        <c:crosses val="autoZero"/>
        <c:auto val="1"/>
        <c:lblAlgn val="ctr"/>
        <c:lblOffset val="100"/>
        <c:noMultiLvlLbl val="0"/>
      </c:catAx>
      <c:valAx>
        <c:axId val="20729666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.##0;\-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938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Sleep Duration: Weekday vs Weekend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weekday_vs_weekend!$F$1</c:f>
              <c:strCache>
                <c:ptCount val="1"/>
                <c:pt idx="0">
                  <c:v>avg_sleep_hours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weekday_vs_weekend!$B$4:$B$5</c:f>
              <c:strCache>
                <c:ptCount val="2"/>
                <c:pt idx="0">
                  <c:v>Weekend</c:v>
                </c:pt>
                <c:pt idx="1">
                  <c:v>Weekday</c:v>
                </c:pt>
              </c:strCache>
            </c:strRef>
          </c:cat>
          <c:val>
            <c:numRef>
              <c:f>weekday_vs_weekend!$F$4:$F$5</c:f>
              <c:numCache>
                <c:formatCode>General</c:formatCode>
                <c:ptCount val="2"/>
                <c:pt idx="0">
                  <c:v>7.26</c:v>
                </c:pt>
                <c:pt idx="1">
                  <c:v>6.88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1-4528-8951-699FB09AB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627656"/>
        <c:axId val="78937608"/>
      </c:barChart>
      <c:catAx>
        <c:axId val="73627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37608"/>
        <c:crosses val="autoZero"/>
        <c:auto val="1"/>
        <c:lblAlgn val="ctr"/>
        <c:lblOffset val="100"/>
        <c:noMultiLvlLbl val="0"/>
      </c:catAx>
      <c:valAx>
        <c:axId val="789376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Sleep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27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 Engagement Levels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engagement_summary!$B$1</c:f>
              <c:strCache>
                <c:ptCount val="1"/>
                <c:pt idx="0">
                  <c:v>users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engagement_summary!$A$2:$A$4</c:f>
              <c:strCache>
                <c:ptCount val="3"/>
                <c:pt idx="0">
                  <c:v>High</c:v>
                </c:pt>
                <c:pt idx="1">
                  <c:v>Moderate</c:v>
                </c:pt>
                <c:pt idx="2">
                  <c:v>Low</c:v>
                </c:pt>
              </c:strCache>
            </c:strRef>
          </c:cat>
          <c:val>
            <c:numRef>
              <c:f>engagement_summary!$B$2:$B$4</c:f>
              <c:numCache>
                <c:formatCode>General</c:formatCode>
                <c:ptCount val="3"/>
                <c:pt idx="0">
                  <c:v>29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2-4F6A-8455-8860EB9A2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5465863"/>
        <c:axId val="59858952"/>
      </c:barChart>
      <c:catAx>
        <c:axId val="21454658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Engagement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8952"/>
        <c:crosses val="autoZero"/>
        <c:auto val="1"/>
        <c:lblAlgn val="ctr"/>
        <c:lblOffset val="100"/>
        <c:noMultiLvlLbl val="0"/>
      </c:catAx>
      <c:valAx>
        <c:axId val="59858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465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Daily Steps by Weekday</a:t>
            </a:r>
          </a:p>
        </c:rich>
      </c:tx>
      <c:layout>
        <c:manualLayout>
          <c:xMode val="edge"/>
          <c:yMode val="edge"/>
          <c:x val="0.26472456751011592"/>
          <c:y val="2.8049042290937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activity_by_weekday!$C$1</c:f>
              <c:strCache>
                <c:ptCount val="1"/>
                <c:pt idx="0">
                  <c:v>avg_steps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activity_by_weekday!$A$2:$A$8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activity_by_weekday!$C$2:$C$8</c:f>
              <c:numCache>
                <c:formatCode>General</c:formatCode>
                <c:ptCount val="7"/>
                <c:pt idx="0">
                  <c:v>7781</c:v>
                </c:pt>
                <c:pt idx="1">
                  <c:v>8125</c:v>
                </c:pt>
                <c:pt idx="2">
                  <c:v>7559</c:v>
                </c:pt>
                <c:pt idx="3">
                  <c:v>7406</c:v>
                </c:pt>
                <c:pt idx="4">
                  <c:v>7448</c:v>
                </c:pt>
                <c:pt idx="5">
                  <c:v>8153</c:v>
                </c:pt>
                <c:pt idx="6">
                  <c:v>6933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15-421C-B0C8-04EDF4276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7102215"/>
        <c:axId val="62944776"/>
      </c:barChart>
      <c:catAx>
        <c:axId val="2147102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Week</a:t>
                </a:r>
              </a:p>
            </c:rich>
          </c:tx>
          <c:layout>
            <c:manualLayout>
              <c:xMode val="edge"/>
              <c:yMode val="edge"/>
              <c:x val="0.42371475916584644"/>
              <c:y val="0.887333437568350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44776"/>
        <c:crosses val="autoZero"/>
        <c:auto val="1"/>
        <c:lblAlgn val="ctr"/>
        <c:lblOffset val="100"/>
        <c:noMultiLvlLbl val="0"/>
      </c:catAx>
      <c:valAx>
        <c:axId val="62944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Steps</a:t>
                </a:r>
              </a:p>
            </c:rich>
          </c:tx>
          <c:layout>
            <c:manualLayout>
              <c:xMode val="edge"/>
              <c:yMode val="edge"/>
              <c:x val="1.4279513888888888E-2"/>
              <c:y val="0.333420530482192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102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Sleep Duration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sleep_by_weekday!$C$1</c:f>
              <c:strCache>
                <c:ptCount val="1"/>
                <c:pt idx="0">
                  <c:v>avg_sleep_hours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sleep_by_weekday!$A$2:$A$8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sleep_by_weekday!$C$2:$C$8</c:f>
              <c:numCache>
                <c:formatCode>General</c:formatCode>
                <c:ptCount val="7"/>
                <c:pt idx="0">
                  <c:v>6.99</c:v>
                </c:pt>
                <c:pt idx="1">
                  <c:v>6.74</c:v>
                </c:pt>
                <c:pt idx="2">
                  <c:v>7.24</c:v>
                </c:pt>
                <c:pt idx="3">
                  <c:v>6.69</c:v>
                </c:pt>
                <c:pt idx="4">
                  <c:v>6.76</c:v>
                </c:pt>
                <c:pt idx="5">
                  <c:v>6.98</c:v>
                </c:pt>
                <c:pt idx="6">
                  <c:v>7.55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48-4762-BFAE-12E44BB1F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1885960"/>
        <c:axId val="501890568"/>
      </c:barChart>
      <c:catAx>
        <c:axId val="501885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890568"/>
        <c:crosses val="autoZero"/>
        <c:auto val="1"/>
        <c:lblAlgn val="ctr"/>
        <c:lblOffset val="100"/>
        <c:noMultiLvlLbl val="0"/>
      </c:catAx>
      <c:valAx>
        <c:axId val="5018905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Sleep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885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Steps: Weekday vs Weekend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weekday_vs_weekend!$D$1</c:f>
              <c:strCache>
                <c:ptCount val="1"/>
                <c:pt idx="0">
                  <c:v>avg_steps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weekday_vs_weekend!$B$2:$B$3</c:f>
              <c:strCache>
                <c:ptCount val="2"/>
                <c:pt idx="0">
                  <c:v>Weekend</c:v>
                </c:pt>
                <c:pt idx="1">
                  <c:v>Weekday</c:v>
                </c:pt>
              </c:strCache>
            </c:strRef>
          </c:cat>
          <c:val>
            <c:numRef>
              <c:f>weekday_vs_weekend!$D$2:$D$3</c:f>
              <c:numCache>
                <c:formatCode>General</c:formatCode>
                <c:ptCount val="2"/>
                <c:pt idx="0">
                  <c:v>7551</c:v>
                </c:pt>
                <c:pt idx="1">
                  <c:v>7669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D-4FD8-8985-881520A5E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2938503"/>
        <c:axId val="2072966663"/>
      </c:barChart>
      <c:catAx>
        <c:axId val="2072938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Type</a:t>
                </a:r>
              </a:p>
            </c:rich>
          </c:tx>
          <c:layout>
            <c:manualLayout>
              <c:xMode val="edge"/>
              <c:yMode val="edge"/>
              <c:x val="0.46673078401820867"/>
              <c:y val="0.874828376758894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966663"/>
        <c:crosses val="autoZero"/>
        <c:auto val="1"/>
        <c:lblAlgn val="ctr"/>
        <c:lblOffset val="100"/>
        <c:noMultiLvlLbl val="0"/>
      </c:catAx>
      <c:valAx>
        <c:axId val="20729666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.##0;\-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938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Sleep Duration: Weekday vs Weekend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weekday_vs_weekend!$F$1</c:f>
              <c:strCache>
                <c:ptCount val="1"/>
                <c:pt idx="0">
                  <c:v>avg_sleep_hours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weekday_vs_weekend!$B$4:$B$5</c:f>
              <c:strCache>
                <c:ptCount val="2"/>
                <c:pt idx="0">
                  <c:v>Weekend</c:v>
                </c:pt>
                <c:pt idx="1">
                  <c:v>Weekday</c:v>
                </c:pt>
              </c:strCache>
            </c:strRef>
          </c:cat>
          <c:val>
            <c:numRef>
              <c:f>weekday_vs_weekend!$F$4:$F$5</c:f>
              <c:numCache>
                <c:formatCode>General</c:formatCode>
                <c:ptCount val="2"/>
                <c:pt idx="0">
                  <c:v>7.26</c:v>
                </c:pt>
                <c:pt idx="1">
                  <c:v>6.88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8-42F0-9AEB-3FC959641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627656"/>
        <c:axId val="78937608"/>
      </c:barChart>
      <c:catAx>
        <c:axId val="73627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37608"/>
        <c:crosses val="autoZero"/>
        <c:auto val="1"/>
        <c:lblAlgn val="ctr"/>
        <c:lblOffset val="100"/>
        <c:noMultiLvlLbl val="0"/>
      </c:catAx>
      <c:valAx>
        <c:axId val="789376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Sleep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27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 Engagement Levels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engagement_summary!$B$1</c:f>
              <c:strCache>
                <c:ptCount val="1"/>
                <c:pt idx="0">
                  <c:v>users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engagement_summary!$A$2:$A$4</c:f>
              <c:strCache>
                <c:ptCount val="3"/>
                <c:pt idx="0">
                  <c:v>High</c:v>
                </c:pt>
                <c:pt idx="1">
                  <c:v>Moderate</c:v>
                </c:pt>
                <c:pt idx="2">
                  <c:v>Low</c:v>
                </c:pt>
              </c:strCache>
            </c:strRef>
          </c:cat>
          <c:val>
            <c:numRef>
              <c:f>engagement_summary!$B$2:$B$4</c:f>
              <c:numCache>
                <c:formatCode>General</c:formatCode>
                <c:ptCount val="3"/>
                <c:pt idx="0">
                  <c:v>29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2-46D1-89EA-909756F8E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5465863"/>
        <c:axId val="59858952"/>
      </c:barChart>
      <c:catAx>
        <c:axId val="21454658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Engagement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58952"/>
        <c:crosses val="autoZero"/>
        <c:auto val="1"/>
        <c:lblAlgn val="ctr"/>
        <c:lblOffset val="100"/>
        <c:noMultiLvlLbl val="0"/>
      </c:catAx>
      <c:valAx>
        <c:axId val="59858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465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4</xdr:row>
      <xdr:rowOff>38100</xdr:rowOff>
    </xdr:from>
    <xdr:to>
      <xdr:col>12</xdr:col>
      <xdr:colOff>295275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C00B11-E475-4019-8DA1-E0E1CA2F30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428625</xdr:colOff>
      <xdr:row>4</xdr:row>
      <xdr:rowOff>38100</xdr:rowOff>
    </xdr:from>
    <xdr:to>
      <xdr:col>20</xdr:col>
      <xdr:colOff>123825</xdr:colOff>
      <xdr:row>18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E41109-EBEA-4097-828E-4067BD559B8C}"/>
            </a:ext>
            <a:ext uri="{147F2762-F138-4A5C-976F-8EAC2B608ADB}">
              <a16:predDERef xmlns:a16="http://schemas.microsoft.com/office/drawing/2014/main" pred="{99C00B11-E475-4019-8DA1-E0E1CA2F30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600075</xdr:colOff>
      <xdr:row>19</xdr:row>
      <xdr:rowOff>76200</xdr:rowOff>
    </xdr:from>
    <xdr:to>
      <xdr:col>12</xdr:col>
      <xdr:colOff>295275</xdr:colOff>
      <xdr:row>33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90CF735-D344-46AC-918E-EF35176D5016}"/>
            </a:ext>
            <a:ext uri="{147F2762-F138-4A5C-976F-8EAC2B608ADB}">
              <a16:predDERef xmlns:a16="http://schemas.microsoft.com/office/drawing/2014/main" pred="{D8E41109-EBEA-4097-828E-4067BD559B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428625</xdr:colOff>
      <xdr:row>19</xdr:row>
      <xdr:rowOff>66675</xdr:rowOff>
    </xdr:from>
    <xdr:to>
      <xdr:col>20</xdr:col>
      <xdr:colOff>123825</xdr:colOff>
      <xdr:row>33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13904A-3878-4DBC-A6FA-6226B0608EFF}"/>
            </a:ext>
            <a:ext uri="{147F2762-F138-4A5C-976F-8EAC2B608ADB}">
              <a16:predDERef xmlns:a16="http://schemas.microsoft.com/office/drawing/2014/main" pred="{D90CF735-D344-46AC-918E-EF35176D50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161925</xdr:colOff>
      <xdr:row>8</xdr:row>
      <xdr:rowOff>171450</xdr:rowOff>
    </xdr:from>
    <xdr:to>
      <xdr:col>27</xdr:col>
      <xdr:colOff>466725</xdr:colOff>
      <xdr:row>23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86919B0-CE08-4230-9188-80240D0BE969}"/>
            </a:ext>
            <a:ext uri="{147F2762-F138-4A5C-976F-8EAC2B608ADB}">
              <a16:predDERef xmlns:a16="http://schemas.microsoft.com/office/drawing/2014/main" pred="{9A13904A-3878-4DBC-A6FA-6226B0608E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10</xdr:row>
      <xdr:rowOff>114300</xdr:rowOff>
    </xdr:from>
    <xdr:to>
      <xdr:col>13</xdr:col>
      <xdr:colOff>38100</xdr:colOff>
      <xdr:row>25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4F9FFE-136F-0C7B-9F19-BCF3679AC1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10</xdr:row>
      <xdr:rowOff>114300</xdr:rowOff>
    </xdr:from>
    <xdr:to>
      <xdr:col>12</xdr:col>
      <xdr:colOff>47625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FB30D9-B39E-0E35-3954-087658C34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781050</xdr:colOff>
      <xdr:row>10</xdr:row>
      <xdr:rowOff>95250</xdr:rowOff>
    </xdr:from>
    <xdr:to>
      <xdr:col>6</xdr:col>
      <xdr:colOff>304800</xdr:colOff>
      <xdr:row>24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C4E014-6654-6313-DBA6-E32047729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47625</xdr:colOff>
      <xdr:row>4</xdr:row>
      <xdr:rowOff>76200</xdr:rowOff>
    </xdr:from>
    <xdr:to>
      <xdr:col>18</xdr:col>
      <xdr:colOff>352425</xdr:colOff>
      <xdr:row>18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A314BD-0727-FF26-03E2-A66790A72D7D}"/>
            </a:ext>
            <a:ext uri="{147F2762-F138-4A5C-976F-8EAC2B608ADB}">
              <a16:predDERef xmlns:a16="http://schemas.microsoft.com/office/drawing/2014/main" pred="{E1C4E014-6654-6313-DBA6-E32047729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1123950</xdr:colOff>
      <xdr:row>10</xdr:row>
      <xdr:rowOff>114300</xdr:rowOff>
    </xdr:from>
    <xdr:to>
      <xdr:col>12</xdr:col>
      <xdr:colOff>142875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F6D0C7-F8FB-58FE-0F82-F4A2AF96D9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2DD4B42-A9FC-4F78-989A-5EC1400ECA58}" autoFormatId="16" applyNumberFormats="0" applyBorderFormats="0" applyFontFormats="0" applyPatternFormats="0" applyAlignmentFormats="0" applyWidthHeightFormats="0">
  <queryTableRefresh nextId="6">
    <queryTableFields count="5">
      <queryTableField id="1" name="days" tableColumnId="1"/>
      <queryTableField id="2" name="users" tableColumnId="2"/>
      <queryTableField id="3" name="avg_steps" tableColumnId="3"/>
      <queryTableField id="4" name="avg_active_minutes" tableColumnId="4"/>
      <queryTableField id="5" name="avg_calorie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B1B891-0CB2-45E3-B442-A8707AAFDE41}" autoFormatId="16" applyNumberFormats="0" applyBorderFormats="0" applyFontFormats="0" applyPatternFormats="0" applyAlignmentFormats="0" applyWidthHeightFormats="0">
  <queryTableRefresh nextId="6">
    <queryTableFields count="5">
      <queryTableField id="1" name="day_of_week" tableColumnId="1"/>
      <queryTableField id="2" name="days" tableColumnId="2"/>
      <queryTableField id="3" name="avg_steps" tableColumnId="3"/>
      <queryTableField id="4" name="avg_active_minutes" tableColumnId="4"/>
      <queryTableField id="5" name="avg_calories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F273DDB-49DB-4CAF-B754-E338E62EDB99}" autoFormatId="16" applyNumberFormats="0" applyBorderFormats="0" applyFontFormats="0" applyPatternFormats="0" applyAlignmentFormats="0" applyWidthHeightFormats="0">
  <queryTableRefresh nextId="5">
    <queryTableFields count="4">
      <queryTableField id="1" name="day_of_week" tableColumnId="1"/>
      <queryTableField id="2" name="nights" tableColumnId="2"/>
      <queryTableField id="3" name="avg_sleep_hours" tableColumnId="3"/>
      <queryTableField id="4" name="avg_time_in_bed_hour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20390433-6989-4465-AEA0-00E829356467}" autoFormatId="16" applyNumberFormats="0" applyBorderFormats="0" applyFontFormats="0" applyPatternFormats="0" applyAlignmentFormats="0" applyWidthHeightFormats="0">
  <queryTableRefresh nextId="7">
    <queryTableFields count="6">
      <queryTableField id="1" name="domain" tableColumnId="1"/>
      <queryTableField id="2" name="is_weekend" tableColumnId="2"/>
      <queryTableField id="3" name="records" tableColumnId="3"/>
      <queryTableField id="4" name="avg_steps" tableColumnId="4"/>
      <queryTableField id="5" name="avg_active_minutes" tableColumnId="5"/>
      <queryTableField id="6" name="avg_sleep_hours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149A0FA-47FF-47A6-A81E-A0E1C7BE1FB1}" autoFormatId="16" applyNumberFormats="0" applyBorderFormats="0" applyFontFormats="0" applyPatternFormats="0" applyAlignmentFormats="0" applyWidthHeightFormats="0">
  <queryTableRefresh nextId="6">
    <queryTableFields count="5">
      <queryTableField id="1" name="engagement_level" tableColumnId="1"/>
      <queryTableField id="2" name="users" tableColumnId="2"/>
      <queryTableField id="3" name="avg_steps" tableColumnId="3"/>
      <queryTableField id="4" name="avg_calories" tableColumnId="4"/>
      <queryTableField id="5" name="avg_tracked_day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E35F1-C055-48F1-A42D-D55E399C0288}" name="kpi_overall" displayName="kpi_overall" ref="A1:E2" tableType="queryTable" totalsRowShown="0">
  <autoFilter ref="A1:E2" xr:uid="{4F0E35F1-C055-48F1-A42D-D55E399C0288}"/>
  <tableColumns count="5">
    <tableColumn id="1" xr3:uid="{9BC0D5C4-E9F0-480F-9A03-32C84C7EA51C}" uniqueName="1" name="days" queryTableFieldId="1"/>
    <tableColumn id="2" xr3:uid="{F305679F-7785-4C1F-85B0-A4850FC1C6E1}" uniqueName="2" name="users" queryTableFieldId="2"/>
    <tableColumn id="3" xr3:uid="{6B364D78-17D5-4EC5-A71A-60CECBA975B1}" uniqueName="3" name="avg_steps" queryTableFieldId="3"/>
    <tableColumn id="4" xr3:uid="{E975AC77-3437-43E4-BFDA-EA11FED3F61B}" uniqueName="4" name="avg_active_minutes" queryTableFieldId="4"/>
    <tableColumn id="5" xr3:uid="{1D73585A-1073-4EAB-A159-DA86152CC609}" uniqueName="5" name="avg_calories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D30FF4-8BA4-4D95-8740-F4181B73D7CE}" name="activity_by_weekday" displayName="activity_by_weekday" ref="A1:E8" tableType="queryTable" totalsRowShown="0">
  <autoFilter ref="A1:E8" xr:uid="{0FD30FF4-8BA4-4D95-8740-F4181B73D7CE}"/>
  <tableColumns count="5">
    <tableColumn id="1" xr3:uid="{707701B8-66F2-451A-984D-D646C09EB970}" uniqueName="1" name="day_of_week" queryTableFieldId="1" dataDxfId="4"/>
    <tableColumn id="2" xr3:uid="{63C82C7D-0023-4E1B-B0B0-911E2F376715}" uniqueName="2" name="days" queryTableFieldId="2"/>
    <tableColumn id="3" xr3:uid="{9F8F18ED-177B-47D3-B032-9939C5DD0379}" uniqueName="3" name="avg_steps" queryTableFieldId="3"/>
    <tableColumn id="4" xr3:uid="{3F3F544F-A35E-4A56-A6C4-D608724BF518}" uniqueName="4" name="avg_active_minutes" queryTableFieldId="4"/>
    <tableColumn id="5" xr3:uid="{9C77CBC4-5B4C-4493-A924-CBD92EE62D5E}" uniqueName="5" name="avg_calories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3EB72C-8706-4FEF-9F2E-F3700DC15FC1}" name="sleep_by_weekday" displayName="sleep_by_weekday" ref="A1:D8" tableType="queryTable" totalsRowShown="0">
  <autoFilter ref="A1:D8" xr:uid="{553EB72C-8706-4FEF-9F2E-F3700DC15FC1}"/>
  <tableColumns count="4">
    <tableColumn id="1" xr3:uid="{8E4ACB52-9666-489B-A0A4-83440903237A}" uniqueName="1" name="day_of_week" queryTableFieldId="1" dataDxfId="3"/>
    <tableColumn id="2" xr3:uid="{2C3047A0-D602-47AB-AE98-DC9FBF69F91B}" uniqueName="2" name="nights" queryTableFieldId="2"/>
    <tableColumn id="3" xr3:uid="{ED172E15-CD89-40A8-93A8-9C988A585F53}" uniqueName="3" name="avg_sleep_hours" queryTableFieldId="3"/>
    <tableColumn id="4" xr3:uid="{90CCA737-0FD3-4589-B64F-62B37F08030E}" uniqueName="4" name="avg_time_in_bed_hours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F71967-D74B-4E2F-BBB1-7FD529904CA5}" name="weekday_vs_weekend" displayName="weekday_vs_weekend" ref="A1:F5" tableType="queryTable" totalsRowShown="0">
  <autoFilter ref="A1:F5" xr:uid="{81F71967-D74B-4E2F-BBB1-7FD529904CA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CBD49A7-9748-4A92-A258-2BEE0D262A6F}" uniqueName="1" name="domain" queryTableFieldId="1" dataDxfId="2"/>
    <tableColumn id="2" xr3:uid="{F9A42287-96F7-43F8-AE7E-B4B64BC16B52}" uniqueName="2" name="is_weekend" queryTableFieldId="2" dataDxfId="1"/>
    <tableColumn id="3" xr3:uid="{A07B50B7-7C15-4182-9787-566A41CD6EE1}" uniqueName="3" name="records" queryTableFieldId="3"/>
    <tableColumn id="4" xr3:uid="{448753A7-4408-4899-9D5F-D5159814925E}" uniqueName="4" name="avg_steps" queryTableFieldId="4"/>
    <tableColumn id="5" xr3:uid="{5F3AA8A5-DEA8-47AD-8D3E-9D61F248FB01}" uniqueName="5" name="avg_active_minutes" queryTableFieldId="5"/>
    <tableColumn id="6" xr3:uid="{2A533C3B-B885-4A02-8497-0390AC64E056}" uniqueName="6" name="avg_sleep_hours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65D73CB-6DC5-4D58-B589-C48D1CBAB512}" name="engagement_summary" displayName="engagement_summary" ref="A1:E4" tableType="queryTable" totalsRowShown="0">
  <autoFilter ref="A1:E4" xr:uid="{965D73CB-6DC5-4D58-B589-C48D1CBAB512}"/>
  <tableColumns count="5">
    <tableColumn id="1" xr3:uid="{2F88BCE4-BC2F-40D6-976F-4DEFDF469A90}" uniqueName="1" name="engagement_level" queryTableFieldId="1" dataDxfId="0"/>
    <tableColumn id="2" xr3:uid="{111DC2A3-1560-411E-8F07-167FBA31318D}" uniqueName="2" name="users" queryTableFieldId="2"/>
    <tableColumn id="3" xr3:uid="{FA69A939-B9A9-45C6-84B5-250940EA0D90}" uniqueName="3" name="avg_steps" queryTableFieldId="3"/>
    <tableColumn id="4" xr3:uid="{15C11EC5-0593-4D65-B626-D3E536B421D1}" uniqueName="4" name="avg_calories" queryTableFieldId="4"/>
    <tableColumn id="5" xr3:uid="{D3D74822-FF23-4CA2-84F8-CAC057D92D94}" uniqueName="5" name="avg_tracked_day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67B2B-A639-4F6E-89DD-924DF000E703}">
  <sheetPr>
    <pageSetUpPr fitToPage="1"/>
  </sheetPr>
  <dimension ref="F2:N3"/>
  <sheetViews>
    <sheetView showGridLines="0" tabSelected="1" workbookViewId="0">
      <selection activeCell="B10" sqref="B10"/>
    </sheetView>
  </sheetViews>
  <sheetFormatPr defaultRowHeight="15"/>
  <sheetData>
    <row r="2" spans="6:14" ht="15" customHeight="1">
      <c r="F2" s="2"/>
      <c r="G2" s="4" t="s">
        <v>0</v>
      </c>
      <c r="H2" s="5"/>
      <c r="I2" s="5"/>
      <c r="J2" s="5"/>
      <c r="K2" s="5"/>
      <c r="L2" s="5"/>
      <c r="M2" s="6"/>
      <c r="N2" s="3"/>
    </row>
    <row r="3" spans="6:14">
      <c r="F3" s="3"/>
      <c r="G3" s="7"/>
      <c r="H3" s="8"/>
      <c r="I3" s="8"/>
      <c r="J3" s="8"/>
      <c r="K3" s="8"/>
      <c r="L3" s="8"/>
      <c r="M3" s="9"/>
      <c r="N3" s="3"/>
    </row>
  </sheetData>
  <mergeCells count="1">
    <mergeCell ref="G2:M3"/>
  </mergeCells>
  <pageMargins left="0.7" right="0.7" top="0.75" bottom="0.75" header="0.3" footer="0.3"/>
  <pageSetup paperSize="3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FA5A0-D4AC-49D6-84DA-9BC4DEE5C767}">
  <dimension ref="A1:E2"/>
  <sheetViews>
    <sheetView workbookViewId="0"/>
  </sheetViews>
  <sheetFormatPr defaultRowHeight="15"/>
  <cols>
    <col min="1" max="1" width="7.5703125" bestFit="1" customWidth="1"/>
    <col min="2" max="2" width="8.28515625" bestFit="1" customWidth="1"/>
    <col min="3" max="3" width="12.140625" bestFit="1" customWidth="1"/>
    <col min="4" max="4" width="21.140625" bestFit="1" customWidth="1"/>
    <col min="5" max="5" width="14.42578125" bestFit="1" customWidth="1"/>
  </cols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>
      <c r="A2">
        <v>940</v>
      </c>
      <c r="B2">
        <v>33</v>
      </c>
      <c r="C2">
        <v>7638</v>
      </c>
      <c r="D2">
        <v>227.5</v>
      </c>
      <c r="E2">
        <v>2304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F6BB9-F5A7-487A-AC87-307DF9CBD8EC}">
  <dimension ref="A1:E8"/>
  <sheetViews>
    <sheetView workbookViewId="0">
      <selection activeCell="Q14" sqref="Q14"/>
    </sheetView>
  </sheetViews>
  <sheetFormatPr defaultRowHeight="15"/>
  <cols>
    <col min="1" max="1" width="14.7109375" bestFit="1" customWidth="1"/>
    <col min="2" max="2" width="7.5703125" bestFit="1" customWidth="1"/>
    <col min="3" max="3" width="12.140625" bestFit="1" customWidth="1"/>
    <col min="4" max="4" width="21.140625" bestFit="1" customWidth="1"/>
    <col min="5" max="5" width="14.42578125" bestFit="1" customWidth="1"/>
  </cols>
  <sheetData>
    <row r="1" spans="1:5">
      <c r="A1" t="s">
        <v>6</v>
      </c>
      <c r="B1" t="s">
        <v>1</v>
      </c>
      <c r="C1" t="s">
        <v>3</v>
      </c>
      <c r="D1" t="s">
        <v>4</v>
      </c>
      <c r="E1" t="s">
        <v>5</v>
      </c>
    </row>
    <row r="2" spans="1:5">
      <c r="A2" s="1" t="s">
        <v>7</v>
      </c>
      <c r="B2">
        <v>120</v>
      </c>
      <c r="C2">
        <v>7781</v>
      </c>
      <c r="D2">
        <v>229.2</v>
      </c>
      <c r="E2">
        <v>2324</v>
      </c>
    </row>
    <row r="3" spans="1:5">
      <c r="A3" s="1" t="s">
        <v>8</v>
      </c>
      <c r="B3">
        <v>152</v>
      </c>
      <c r="C3">
        <v>8125</v>
      </c>
      <c r="D3">
        <v>234.6</v>
      </c>
      <c r="E3">
        <v>2356</v>
      </c>
    </row>
    <row r="4" spans="1:5">
      <c r="A4" s="1" t="s">
        <v>9</v>
      </c>
      <c r="B4">
        <v>150</v>
      </c>
      <c r="C4">
        <v>7559</v>
      </c>
      <c r="D4">
        <v>223.7</v>
      </c>
      <c r="E4">
        <v>2303</v>
      </c>
    </row>
    <row r="5" spans="1:5">
      <c r="A5" s="1" t="s">
        <v>10</v>
      </c>
      <c r="B5">
        <v>147</v>
      </c>
      <c r="C5">
        <v>7406</v>
      </c>
      <c r="D5">
        <v>216.8</v>
      </c>
      <c r="E5">
        <v>2200</v>
      </c>
    </row>
    <row r="6" spans="1:5">
      <c r="A6" s="1" t="s">
        <v>11</v>
      </c>
      <c r="B6">
        <v>126</v>
      </c>
      <c r="C6">
        <v>7448</v>
      </c>
      <c r="D6">
        <v>236.4</v>
      </c>
      <c r="E6">
        <v>2332</v>
      </c>
    </row>
    <row r="7" spans="1:5">
      <c r="A7" s="1" t="s">
        <v>12</v>
      </c>
      <c r="B7">
        <v>124</v>
      </c>
      <c r="C7">
        <v>8153</v>
      </c>
      <c r="D7">
        <v>244.3</v>
      </c>
      <c r="E7">
        <v>2355</v>
      </c>
    </row>
    <row r="8" spans="1:5">
      <c r="A8" s="1" t="s">
        <v>13</v>
      </c>
      <c r="B8">
        <v>121</v>
      </c>
      <c r="C8">
        <v>6933</v>
      </c>
      <c r="D8">
        <v>208.5</v>
      </c>
      <c r="E8">
        <v>2263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5F09-6FD7-45EA-8BE7-74598A35517F}">
  <dimension ref="A1:D8"/>
  <sheetViews>
    <sheetView workbookViewId="0">
      <selection activeCellId="1" sqref="C1:C8 A1:A8"/>
    </sheetView>
  </sheetViews>
  <sheetFormatPr defaultRowHeight="15"/>
  <cols>
    <col min="1" max="1" width="14.7109375" bestFit="1" customWidth="1"/>
    <col min="2" max="2" width="8.85546875" bestFit="1" customWidth="1"/>
    <col min="3" max="3" width="18.28515625" bestFit="1" customWidth="1"/>
    <col min="4" max="4" width="24.42578125" bestFit="1" customWidth="1"/>
  </cols>
  <sheetData>
    <row r="1" spans="1:4">
      <c r="A1" t="s">
        <v>6</v>
      </c>
      <c r="B1" t="s">
        <v>14</v>
      </c>
      <c r="C1" t="s">
        <v>15</v>
      </c>
      <c r="D1" t="s">
        <v>16</v>
      </c>
    </row>
    <row r="2" spans="1:4">
      <c r="A2" s="1" t="s">
        <v>7</v>
      </c>
      <c r="B2">
        <v>46</v>
      </c>
      <c r="C2">
        <v>6.99</v>
      </c>
      <c r="D2">
        <v>7.62</v>
      </c>
    </row>
    <row r="3" spans="1:4">
      <c r="A3" s="1" t="s">
        <v>8</v>
      </c>
      <c r="B3">
        <v>65</v>
      </c>
      <c r="C3">
        <v>6.74</v>
      </c>
      <c r="D3">
        <v>7.39</v>
      </c>
    </row>
    <row r="4" spans="1:4">
      <c r="A4" s="1" t="s">
        <v>9</v>
      </c>
      <c r="B4">
        <v>66</v>
      </c>
      <c r="C4">
        <v>7.24</v>
      </c>
      <c r="D4">
        <v>7.83</v>
      </c>
    </row>
    <row r="5" spans="1:4">
      <c r="A5" s="1" t="s">
        <v>10</v>
      </c>
      <c r="B5">
        <v>64</v>
      </c>
      <c r="C5">
        <v>6.69</v>
      </c>
      <c r="D5">
        <v>7.25</v>
      </c>
    </row>
    <row r="6" spans="1:4">
      <c r="A6" s="1" t="s">
        <v>11</v>
      </c>
      <c r="B6">
        <v>57</v>
      </c>
      <c r="C6">
        <v>6.76</v>
      </c>
      <c r="D6">
        <v>7.42</v>
      </c>
    </row>
    <row r="7" spans="1:4">
      <c r="A7" s="1" t="s">
        <v>12</v>
      </c>
      <c r="B7">
        <v>57</v>
      </c>
      <c r="C7">
        <v>6.98</v>
      </c>
      <c r="D7">
        <v>7.66</v>
      </c>
    </row>
    <row r="8" spans="1:4">
      <c r="A8" s="1" t="s">
        <v>13</v>
      </c>
      <c r="B8">
        <v>55</v>
      </c>
      <c r="C8">
        <v>7.55</v>
      </c>
      <c r="D8">
        <v>8.39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FD57-5824-4246-9A32-B83E7463BF75}">
  <dimension ref="A1:F5"/>
  <sheetViews>
    <sheetView workbookViewId="0">
      <selection activeCell="B1" activeCellId="3" sqref="F4:F5 F1 B4:B5 B1"/>
    </sheetView>
  </sheetViews>
  <sheetFormatPr defaultRowHeight="15"/>
  <cols>
    <col min="1" max="1" width="10.140625" bestFit="1" customWidth="1"/>
    <col min="2" max="2" width="13.85546875" bestFit="1" customWidth="1"/>
    <col min="3" max="3" width="10.28515625" bestFit="1" customWidth="1"/>
    <col min="4" max="4" width="12.140625" bestFit="1" customWidth="1"/>
    <col min="5" max="5" width="21.140625" bestFit="1" customWidth="1"/>
    <col min="6" max="6" width="18.28515625" bestFit="1" customWidth="1"/>
  </cols>
  <sheetData>
    <row r="1" spans="1:6">
      <c r="A1" t="s">
        <v>17</v>
      </c>
      <c r="B1" t="s">
        <v>18</v>
      </c>
      <c r="C1" t="s">
        <v>19</v>
      </c>
      <c r="D1" t="s">
        <v>3</v>
      </c>
      <c r="E1" t="s">
        <v>4</v>
      </c>
      <c r="F1" t="s">
        <v>15</v>
      </c>
    </row>
    <row r="2" spans="1:6">
      <c r="A2" s="1" t="s">
        <v>20</v>
      </c>
      <c r="B2" s="1" t="s">
        <v>21</v>
      </c>
      <c r="C2">
        <v>245</v>
      </c>
      <c r="D2">
        <v>7551</v>
      </c>
      <c r="E2">
        <v>226.6</v>
      </c>
    </row>
    <row r="3" spans="1:6">
      <c r="A3" s="1" t="s">
        <v>20</v>
      </c>
      <c r="B3" s="1" t="s">
        <v>22</v>
      </c>
      <c r="C3">
        <v>695</v>
      </c>
      <c r="D3">
        <v>7669</v>
      </c>
      <c r="E3">
        <v>227.9</v>
      </c>
    </row>
    <row r="4" spans="1:6">
      <c r="A4" s="1" t="s">
        <v>23</v>
      </c>
      <c r="B4" s="1" t="s">
        <v>21</v>
      </c>
      <c r="C4">
        <v>112</v>
      </c>
      <c r="F4">
        <v>7.26</v>
      </c>
    </row>
    <row r="5" spans="1:6">
      <c r="A5" s="1" t="s">
        <v>23</v>
      </c>
      <c r="B5" s="1" t="s">
        <v>22</v>
      </c>
      <c r="C5">
        <v>298</v>
      </c>
      <c r="F5">
        <v>6.88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B8C40-24D7-44DD-9632-B6172F60366A}">
  <dimension ref="A1:E4"/>
  <sheetViews>
    <sheetView workbookViewId="0">
      <selection sqref="A1:B4"/>
    </sheetView>
  </sheetViews>
  <sheetFormatPr defaultRowHeight="15"/>
  <cols>
    <col min="1" max="1" width="19.85546875" bestFit="1" customWidth="1"/>
    <col min="2" max="2" width="8.28515625" bestFit="1" customWidth="1"/>
    <col min="3" max="3" width="12.140625" bestFit="1" customWidth="1"/>
    <col min="4" max="4" width="14.42578125" bestFit="1" customWidth="1"/>
    <col min="5" max="5" width="19.28515625" bestFit="1" customWidth="1"/>
  </cols>
  <sheetData>
    <row r="1" spans="1:5">
      <c r="A1" t="s">
        <v>24</v>
      </c>
      <c r="B1" t="s">
        <v>2</v>
      </c>
      <c r="C1" t="s">
        <v>3</v>
      </c>
      <c r="D1" t="s">
        <v>5</v>
      </c>
      <c r="E1" t="s">
        <v>25</v>
      </c>
    </row>
    <row r="2" spans="1:5">
      <c r="A2" s="1" t="s">
        <v>26</v>
      </c>
      <c r="B2">
        <v>29</v>
      </c>
      <c r="C2">
        <v>7636</v>
      </c>
      <c r="D2">
        <v>2330</v>
      </c>
      <c r="E2">
        <v>30.3</v>
      </c>
    </row>
    <row r="3" spans="1:5">
      <c r="A3" s="1" t="s">
        <v>27</v>
      </c>
      <c r="B3">
        <v>3</v>
      </c>
      <c r="C3">
        <v>7621</v>
      </c>
      <c r="D3">
        <v>1922</v>
      </c>
      <c r="E3">
        <v>19</v>
      </c>
    </row>
    <row r="4" spans="1:5">
      <c r="A4" s="1" t="s">
        <v>28</v>
      </c>
      <c r="B4">
        <v>1</v>
      </c>
      <c r="C4">
        <v>3838</v>
      </c>
      <c r="D4">
        <v>1974</v>
      </c>
      <c r="E4">
        <v>4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C2E384-F866-4903-B355-93F503DC77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Elnur 161385</cp:lastModifiedBy>
  <cp:revision/>
  <dcterms:created xsi:type="dcterms:W3CDTF">2025-08-27T09:43:26Z</dcterms:created>
  <dcterms:modified xsi:type="dcterms:W3CDTF">2026-01-04T17:51:53Z</dcterms:modified>
  <cp:category/>
  <cp:contentStatus/>
</cp:coreProperties>
</file>